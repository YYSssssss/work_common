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20" windowWidth="28035" windowHeight="12315"/>
  </bookViews>
  <sheets>
    <sheet name="Sheet1" sheetId="1" r:id="rId1"/>
    <sheet name="版权说明" sheetId="3" r:id="rId2"/>
    <sheet name="Sheet2" sheetId="2" r:id="rId3"/>
  </sheets>
  <calcPr calcId="144525"/>
</workbook>
</file>

<file path=xl/calcChain.xml><?xml version="1.0" encoding="utf-8"?>
<calcChain xmlns="http://schemas.openxmlformats.org/spreadsheetml/2006/main">
  <c r="G63" i="1" l="1"/>
  <c r="F63" i="1"/>
  <c r="E63" i="1"/>
  <c r="D63" i="1"/>
  <c r="C63" i="1"/>
  <c r="B63" i="1"/>
  <c r="A63" i="1"/>
  <c r="M28" i="1"/>
  <c r="M27" i="1"/>
  <c r="M26" i="1"/>
  <c r="M25" i="1"/>
  <c r="M24" i="1"/>
  <c r="M23" i="1"/>
  <c r="M22" i="1"/>
  <c r="M21" i="1"/>
  <c r="M20" i="1"/>
  <c r="M19" i="1"/>
  <c r="M18" i="1"/>
  <c r="M17" i="1"/>
  <c r="M16" i="1"/>
  <c r="M15" i="1"/>
  <c r="M14" i="1"/>
  <c r="M13" i="1"/>
  <c r="M12" i="1"/>
  <c r="M11" i="1"/>
  <c r="M10" i="1"/>
  <c r="M9" i="1"/>
  <c r="M8" i="1"/>
  <c r="M7" i="1"/>
  <c r="A7" i="1"/>
  <c r="B7" i="1" s="1"/>
  <c r="C7" i="1" s="1"/>
  <c r="D7" i="1" s="1"/>
  <c r="E7" i="1" s="1"/>
  <c r="F7" i="1" s="1"/>
  <c r="G7" i="1" s="1"/>
  <c r="A8" i="1" s="1"/>
  <c r="B8" i="1" s="1"/>
  <c r="C8" i="1" s="1"/>
  <c r="D8" i="1" s="1"/>
  <c r="E8" i="1" s="1"/>
  <c r="F8" i="1" s="1"/>
  <c r="G8" i="1" s="1"/>
  <c r="A9" i="1" s="1"/>
  <c r="B9" i="1" s="1"/>
  <c r="C9" i="1" s="1"/>
  <c r="D9" i="1" s="1"/>
  <c r="E9" i="1" s="1"/>
  <c r="F9" i="1" s="1"/>
  <c r="G9" i="1" s="1"/>
  <c r="A10" i="1" s="1"/>
  <c r="B10" i="1" s="1"/>
  <c r="C10" i="1" s="1"/>
  <c r="D10" i="1" s="1"/>
  <c r="E10" i="1" s="1"/>
  <c r="F10" i="1" s="1"/>
  <c r="G10" i="1" s="1"/>
  <c r="A11" i="1" s="1"/>
  <c r="B11" i="1" s="1"/>
  <c r="C11" i="1" s="1"/>
  <c r="D11" i="1" s="1"/>
  <c r="E11" i="1" s="1"/>
  <c r="F11" i="1" s="1"/>
  <c r="G11" i="1" s="1"/>
  <c r="A12" i="1" s="1"/>
  <c r="B12" i="1" s="1"/>
  <c r="C12" i="1" s="1"/>
  <c r="D12" i="1" s="1"/>
  <c r="E12" i="1" s="1"/>
  <c r="F12" i="1" s="1"/>
  <c r="G12" i="1" s="1"/>
  <c r="M6" i="1"/>
  <c r="M5" i="1"/>
  <c r="F5" i="1"/>
  <c r="M4" i="1"/>
  <c r="A4" i="1"/>
  <c r="A2" i="1"/>
</calcChain>
</file>

<file path=xl/sharedStrings.xml><?xml version="1.0" encoding="utf-8"?>
<sst xmlns="http://schemas.openxmlformats.org/spreadsheetml/2006/main" count="39" uniqueCount="36">
  <si>
    <t>项目名称</t>
    <phoneticPr fontId="4" type="noConversion"/>
  </si>
  <si>
    <t>武汉某某公司某某项目</t>
    <phoneticPr fontId="4" type="noConversion"/>
  </si>
  <si>
    <t>开始时间</t>
    <phoneticPr fontId="4" type="noConversion"/>
  </si>
  <si>
    <t>结束时间</t>
    <phoneticPr fontId="4" type="noConversion"/>
  </si>
  <si>
    <t>序号</t>
    <phoneticPr fontId="4" type="noConversion"/>
  </si>
  <si>
    <t>工作名称</t>
    <phoneticPr fontId="4" type="noConversion"/>
  </si>
  <si>
    <t>工期</t>
    <phoneticPr fontId="4" type="noConversion"/>
  </si>
  <si>
    <t>完成率</t>
    <phoneticPr fontId="4" type="noConversion"/>
  </si>
  <si>
    <t>一</t>
    <phoneticPr fontId="4" type="noConversion"/>
  </si>
  <si>
    <t>项目筹备</t>
    <phoneticPr fontId="4" type="noConversion"/>
  </si>
  <si>
    <t>本文档由稻壳儿奋斗的小青年设计制作，盗版必究。</t>
    <phoneticPr fontId="4" type="noConversion"/>
  </si>
  <si>
    <t>物料配备</t>
  </si>
  <si>
    <t>日</t>
    <phoneticPr fontId="4" type="noConversion"/>
  </si>
  <si>
    <t>一</t>
    <phoneticPr fontId="4" type="noConversion"/>
  </si>
  <si>
    <t>二</t>
    <phoneticPr fontId="4" type="noConversion"/>
  </si>
  <si>
    <t>三</t>
    <phoneticPr fontId="4" type="noConversion"/>
  </si>
  <si>
    <t>四</t>
    <phoneticPr fontId="4" type="noConversion"/>
  </si>
  <si>
    <t>五</t>
    <phoneticPr fontId="4" type="noConversion"/>
  </si>
  <si>
    <t>六</t>
    <phoneticPr fontId="4" type="noConversion"/>
  </si>
  <si>
    <t>1.1.1</t>
    <phoneticPr fontId="4" type="noConversion"/>
  </si>
  <si>
    <t>队伍筹建</t>
  </si>
  <si>
    <t>1.1.2</t>
    <phoneticPr fontId="4" type="noConversion"/>
  </si>
  <si>
    <t>项目定位</t>
  </si>
  <si>
    <t>背景调查</t>
  </si>
  <si>
    <t>可行性分析</t>
    <phoneticPr fontId="4" type="noConversion"/>
  </si>
  <si>
    <t>二</t>
    <phoneticPr fontId="4" type="noConversion"/>
  </si>
  <si>
    <t>项目实施</t>
    <phoneticPr fontId="4" type="noConversion"/>
  </si>
  <si>
    <t>四</t>
    <phoneticPr fontId="4" type="noConversion"/>
  </si>
  <si>
    <t>说明：当修改开始时间和结束时间以后需要点击甘特图横坐标，调整最大值和最小值，使之对应。</t>
    <phoneticPr fontId="4" type="noConversion"/>
  </si>
  <si>
    <t>43891-43943</t>
    <phoneticPr fontId="4" type="noConversion"/>
  </si>
  <si>
    <t>3月4日颜色</t>
    <phoneticPr fontId="4" type="noConversion"/>
  </si>
  <si>
    <t>27,38,44</t>
    <phoneticPr fontId="4" type="noConversion"/>
  </si>
  <si>
    <t>15,76,117</t>
    <phoneticPr fontId="4" type="noConversion"/>
  </si>
  <si>
    <r>
      <rPr>
        <b/>
        <u/>
        <sz val="16"/>
        <color theme="0"/>
        <rFont val="微软雅黑"/>
        <family val="2"/>
        <charset val="134"/>
      </rPr>
      <t>版权申明：</t>
    </r>
    <r>
      <rPr>
        <sz val="11"/>
        <color theme="0"/>
        <rFont val="微软雅黑"/>
        <family val="2"/>
        <charset val="134"/>
      </rPr>
      <t xml:space="preserve">
</t>
    </r>
    <r>
      <rPr>
        <sz val="9"/>
        <color theme="0"/>
        <rFont val="微软雅黑"/>
        <family val="2"/>
        <charset val="134"/>
      </rPr>
      <t xml:space="preserve">Copyright Notes: </t>
    </r>
    <phoneticPr fontId="4" type="noConversion"/>
  </si>
  <si>
    <r>
      <rPr>
        <sz val="12"/>
        <color theme="1"/>
        <rFont val="微软雅黑"/>
        <family val="2"/>
        <charset val="134"/>
      </rPr>
      <t>1、本文档由稻壳儿设计师"奋斗的小青年"制作完成（身份证尾号：262930）。</t>
    </r>
    <r>
      <rPr>
        <sz val="12"/>
        <color rgb="FF00B0F0"/>
        <rFont val="微软雅黑"/>
        <family val="2"/>
        <charset val="134"/>
      </rPr>
      <t>所有文档均有合法版权证明</t>
    </r>
    <r>
      <rPr>
        <sz val="12"/>
        <color theme="1"/>
        <rFont val="微软雅黑"/>
        <family val="2"/>
        <charset val="134"/>
      </rPr>
      <t>，并委托由第三方机构负责版权维护，对于所有盗版商用必投诉追究到底，依法追究盗版者责任，以维护创作者的合法权益。</t>
    </r>
    <r>
      <rPr>
        <sz val="11"/>
        <color theme="1"/>
        <rFont val="微软雅黑"/>
        <family val="2"/>
        <charset val="134"/>
      </rPr>
      <t xml:space="preserve">
</t>
    </r>
    <r>
      <rPr>
        <sz val="9"/>
        <color theme="0" tint="-0.499984740745262"/>
        <rFont val="微软雅黑"/>
        <family val="2"/>
        <charset val="134"/>
      </rPr>
      <t xml:space="preserve">1. This document was produced by rice husk designer "struggling young people" (ID number: 262930). All documents have legitimate copyright certificates, and entrust third-party organizations to be responsible for copyright protection. All commercial piracy complaints must be investigated to the end, and pirates should be held accountable according to law in order to safeguard the legitimate rights and interests of creators. </t>
    </r>
    <r>
      <rPr>
        <sz val="11"/>
        <color theme="1"/>
        <rFont val="微软雅黑"/>
        <family val="2"/>
        <charset val="134"/>
      </rPr>
      <t xml:space="preserve">
</t>
    </r>
    <r>
      <rPr>
        <sz val="12"/>
        <color theme="1"/>
        <rFont val="微软雅黑"/>
        <family val="2"/>
        <charset val="134"/>
      </rPr>
      <t>2、本文档亦隐藏有设计师的专属印记，望慎之。</t>
    </r>
    <r>
      <rPr>
        <sz val="11"/>
        <color theme="1"/>
        <rFont val="微软雅黑"/>
        <family val="2"/>
        <charset val="134"/>
      </rPr>
      <t xml:space="preserve">
</t>
    </r>
    <r>
      <rPr>
        <sz val="9"/>
        <color theme="0" tint="-0.499984740745262"/>
        <rFont val="微软雅黑"/>
        <family val="2"/>
        <charset val="134"/>
      </rPr>
      <t xml:space="preserve">2. This document also hides the designer's exclusive imprint, so be careful. 
</t>
    </r>
    <r>
      <rPr>
        <sz val="12"/>
        <color theme="1" tint="4.9989318521683403E-2"/>
        <rFont val="微软雅黑"/>
        <family val="2"/>
        <charset val="134"/>
      </rPr>
      <t>3、部分表格使用需要开启宏，使用WPS的朋友，可以在百度网上下载宏插件（比较多，随意搜索即可）。</t>
    </r>
    <r>
      <rPr>
        <sz val="9"/>
        <color theme="0" tint="-0.499984740745262"/>
        <rFont val="微软雅黑"/>
        <family val="2"/>
        <charset val="134"/>
      </rPr>
      <t xml:space="preserve">
3. Some tables need to open macros. Friends who use WPS can download macro plug-ins on Baidu Internet (more, just search at will).                 </t>
    </r>
    <r>
      <rPr>
        <sz val="11"/>
        <color theme="1"/>
        <rFont val="微软雅黑"/>
        <family val="2"/>
        <charset val="134"/>
      </rPr>
      <t xml:space="preserve">
</t>
    </r>
    <r>
      <rPr>
        <sz val="12"/>
        <color theme="1"/>
        <rFont val="微软雅黑"/>
        <family val="2"/>
        <charset val="134"/>
      </rPr>
      <t>4、如需参考本设计师的更多作品，请移步稻壳儿网站如下链接查找：</t>
    </r>
    <r>
      <rPr>
        <sz val="11"/>
        <color theme="1"/>
        <rFont val="微软雅黑"/>
        <family val="2"/>
        <charset val="134"/>
      </rPr>
      <t xml:space="preserve">
</t>
    </r>
    <r>
      <rPr>
        <sz val="9"/>
        <color theme="0" tint="-0.499984740745262"/>
        <rFont val="微软雅黑"/>
        <family val="2"/>
        <charset val="134"/>
      </rPr>
      <t xml:space="preserve">4. If you need to refer to more works of this designer, please go to the website of Rice Hull to find the following links: </t>
    </r>
    <r>
      <rPr>
        <sz val="11"/>
        <color theme="1"/>
        <rFont val="微软雅黑"/>
        <family val="2"/>
        <charset val="134"/>
      </rPr>
      <t xml:space="preserve">
</t>
    </r>
    <r>
      <rPr>
        <u/>
        <sz val="14"/>
        <color rgb="FF00B0F0"/>
        <rFont val="微软雅黑"/>
        <family val="2"/>
        <charset val="134"/>
      </rPr>
      <t>https://chn.docer.com/works?userid=545665384</t>
    </r>
    <phoneticPr fontId="4" type="noConversion"/>
  </si>
  <si>
    <r>
      <rPr>
        <b/>
        <sz val="22"/>
        <color theme="1"/>
        <rFont val="微软雅黑"/>
        <family val="2"/>
        <charset val="134"/>
      </rPr>
      <t>项目工作计划甘特图（自动作图）</t>
    </r>
    <r>
      <rPr>
        <sz val="11"/>
        <color theme="1"/>
        <rFont val="微软雅黑"/>
        <family val="2"/>
        <charset val="134"/>
      </rPr>
      <t xml:space="preserve">
</t>
    </r>
    <r>
      <rPr>
        <sz val="10"/>
        <color theme="0" tint="-0.499984740745262"/>
        <rFont val="微软雅黑"/>
        <family val="2"/>
        <charset val="134"/>
      </rPr>
      <t xml:space="preserve">EXCEL Project Gantt Map (Automated Drawing) </t>
    </r>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</si>
</sst>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176" formatCode="h:mm:ss;@"/>
    <numFmt numFmtId="177" formatCode="[DBNum1]&quot;今&quot;&quot;天&quot;&quot;是&quot;&quot;：&quot;\ [$-804]yyyy&quot;年&quot;m&quot;月&quot;d&quot;日&quot;;@"/>
    <numFmt numFmtId="178" formatCode="General\ &quot;年&quot;"/>
    <numFmt numFmtId="179" formatCode="General\ &quot;月&quot;"/>
    <numFmt numFmtId="180" formatCode="[$-804]aaa;@"/>
    <numFmt numFmtId="181" formatCode="_-#,##0_-;\(#,##0\);_-\ \ &quot;-&quot;_-;_-@_-"/>
    <numFmt numFmtId="182" formatCode="_-#,##0.00_-;\(#,##0.00\);_-\ \ &quot;-&quot;_-;_-@_-"/>
    <numFmt numFmtId="183" formatCode="mmm/dd/yyyy;_-\ &quot;N/A&quot;_-;_-\ &quot;-&quot;_-"/>
    <numFmt numFmtId="184" formatCode="mmm/yyyy;_-\ &quot;N/A&quot;_-;_-\ &quot;-&quot;_-"/>
    <numFmt numFmtId="185" formatCode="_-#,##0%_-;\(#,##0%\);_-\ &quot;-&quot;_-"/>
    <numFmt numFmtId="186" formatCode="_-#,###,_-;\(#,###,\);_-\ \ &quot;-&quot;_-;_-@_-"/>
    <numFmt numFmtId="187" formatCode="_-#,###.00,_-;\(#,###.00,\);_-\ \ &quot;-&quot;_-;_-@_-"/>
    <numFmt numFmtId="188" formatCode="_-#0&quot;.&quot;0,_-;\(#0&quot;.&quot;0,\);_-\ \ &quot;-&quot;_-;_-@_-"/>
    <numFmt numFmtId="189" formatCode="_-#0&quot;.&quot;0000_-;\(#0&quot;.&quot;0000\);_-\ \ &quot;-&quot;_-;_-@_-"/>
    <numFmt numFmtId="190" formatCode="_([$€-2]* #,##0.00_);_([$€-2]* \(#,##0.00\);_([$€-2]* &quot;-&quot;??_)"/>
    <numFmt numFmtId="191" formatCode="_(* #,##0.00_);_(* \(#,##0.00\);_(* &quot;-&quot;??_);_(@_)"/>
    <numFmt numFmtId="192" formatCode="0.00_ "/>
    <numFmt numFmtId="193" formatCode="0.00_);[Red]\(0.00\)"/>
  </numFmts>
  <fonts count="30" x14ac:knownFonts="1">
    <font>
      <sz val="11"/>
      <color theme="1"/>
      <name val="宋体"/>
      <family val="2"/>
      <scheme val="minor"/>
    </font>
    <font>
      <sz val="11"/>
      <color theme="1"/>
      <name val="微软雅黑"/>
      <family val="2"/>
      <charset val="134"/>
    </font>
    <font>
      <b/>
      <sz val="22"/>
      <color theme="1"/>
      <name val="微软雅黑"/>
      <family val="2"/>
      <charset val="134"/>
    </font>
    <font>
      <sz val="10"/>
      <color theme="0" tint="-0.499984740745262"/>
      <name val="微软雅黑"/>
      <family val="2"/>
      <charset val="134"/>
    </font>
    <font>
      <sz val="9"/>
      <name val="宋体"/>
      <family val="3"/>
      <charset val="134"/>
      <scheme val="minor"/>
    </font>
    <font>
      <sz val="36"/>
      <color theme="0"/>
      <name val="微软雅黑 Light"/>
      <family val="2"/>
      <charset val="134"/>
    </font>
    <font>
      <b/>
      <sz val="18"/>
      <color rgb="FF00B0F0"/>
      <name val="微软雅黑"/>
      <family val="2"/>
      <charset val="134"/>
    </font>
    <font>
      <sz val="10"/>
      <color theme="1"/>
      <name val="微软雅黑"/>
      <family val="2"/>
      <charset val="134"/>
    </font>
    <font>
      <sz val="12"/>
      <color theme="0" tint="-0.14999847407452621"/>
      <name val="微软雅黑"/>
      <family val="2"/>
      <charset val="134"/>
    </font>
    <font>
      <sz val="9"/>
      <color theme="1"/>
      <name val="微软雅黑"/>
      <family val="2"/>
      <charset val="134"/>
    </font>
    <font>
      <sz val="9"/>
      <color theme="0"/>
      <name val="微软雅黑"/>
      <family val="2"/>
      <charset val="134"/>
    </font>
    <font>
      <sz val="11"/>
      <color theme="0"/>
      <name val="微软雅黑"/>
      <family val="2"/>
      <charset val="134"/>
    </font>
    <font>
      <sz val="11"/>
      <color rgb="FF585F69"/>
      <name val="微软雅黑"/>
      <family val="2"/>
      <charset val="134"/>
    </font>
    <font>
      <sz val="10"/>
      <color theme="0"/>
      <name val="微软雅黑"/>
      <family val="2"/>
      <charset val="134"/>
    </font>
    <font>
      <sz val="10"/>
      <color rgb="FFFF0000"/>
      <name val="微软雅黑"/>
      <family val="2"/>
      <charset val="134"/>
    </font>
    <font>
      <sz val="12"/>
      <color theme="1"/>
      <name val="宋体"/>
      <family val="2"/>
      <scheme val="minor"/>
    </font>
    <font>
      <sz val="12"/>
      <color rgb="FFFF0000"/>
      <name val="微软雅黑"/>
      <family val="2"/>
      <charset val="134"/>
    </font>
    <font>
      <b/>
      <u/>
      <sz val="16"/>
      <color theme="0"/>
      <name val="微软雅黑"/>
      <family val="2"/>
      <charset val="134"/>
    </font>
    <font>
      <sz val="12"/>
      <color theme="1"/>
      <name val="微软雅黑"/>
      <family val="2"/>
      <charset val="134"/>
    </font>
    <font>
      <sz val="12"/>
      <color rgb="FF00B0F0"/>
      <name val="微软雅黑"/>
      <family val="2"/>
      <charset val="134"/>
    </font>
    <font>
      <sz val="9"/>
      <color theme="0" tint="-0.499984740745262"/>
      <name val="微软雅黑"/>
      <family val="2"/>
      <charset val="134"/>
    </font>
    <font>
      <sz val="12"/>
      <color theme="1" tint="4.9989318521683403E-2"/>
      <name val="微软雅黑"/>
      <family val="2"/>
      <charset val="134"/>
    </font>
    <font>
      <u/>
      <sz val="14"/>
      <color rgb="FF00B0F0"/>
      <name val="微软雅黑"/>
      <family val="2"/>
      <charset val="134"/>
    </font>
    <font>
      <sz val="10"/>
      <name val="Times New Roman"/>
      <family val="1"/>
    </font>
    <font>
      <u val="singleAccounting"/>
      <vertAlign val="subscript"/>
      <sz val="10"/>
      <name val="Times New Roman"/>
      <family val="1"/>
    </font>
    <font>
      <i/>
      <sz val="9"/>
      <name val="Times New Roman"/>
      <family val="1"/>
    </font>
    <font>
      <sz val="12"/>
      <name val="宋体"/>
      <family val="3"/>
      <charset val="134"/>
    </font>
    <font>
      <sz val="11"/>
      <color theme="1"/>
      <name val="宋体"/>
      <family val="3"/>
      <charset val="134"/>
      <scheme val="minor"/>
    </font>
    <font>
      <sz val="10"/>
      <name val="宋体"/>
      <family val="3"/>
      <charset val="134"/>
    </font>
    <font>
      <sz val="11"/>
      <color indexed="8"/>
      <name val="宋体"/>
      <family val="3"/>
      <charset val="134"/>
    </font>
  </fonts>
  <fills count="11">
    <fill>
      <patternFill patternType="none"/>
    </fill>
    <fill>
      <patternFill patternType="gray125"/>
    </fill>
    <fill>
      <patternFill patternType="solid">
        <fgColor rgb="FF585F69"/>
        <bgColor indexed="64"/>
      </patternFill>
    </fill>
    <fill>
      <patternFill patternType="solid">
        <fgColor theme="0"/>
        <bgColor indexed="64"/>
      </patternFill>
    </fill>
    <fill>
      <patternFill patternType="solid">
        <fgColor theme="8" tint="0.79998168889431442"/>
        <bgColor indexed="64"/>
      </patternFill>
    </fill>
    <fill>
      <patternFill patternType="solid">
        <fgColor rgb="FF1B262C"/>
        <bgColor indexed="64"/>
      </patternFill>
    </fill>
    <fill>
      <patternFill patternType="solid">
        <fgColor rgb="FF0F4C75"/>
        <bgColor indexed="64"/>
      </patternFill>
    </fill>
    <fill>
      <patternFill patternType="solid">
        <fgColor rgb="FF3282B8"/>
        <bgColor indexed="64"/>
      </patternFill>
    </fill>
    <fill>
      <patternFill patternType="solid">
        <fgColor rgb="FFBBE1FA"/>
        <bgColor indexed="64"/>
      </patternFill>
    </fill>
    <fill>
      <patternFill patternType="solid">
        <fgColor rgb="FF00A79D"/>
        <bgColor indexed="64"/>
      </patternFill>
    </fill>
    <fill>
      <patternFill patternType="solid">
        <fgColor theme="0" tint="-0.14999847407452621"/>
        <bgColor indexed="64"/>
      </patternFill>
    </fill>
  </fills>
  <borders count="23">
    <border>
      <left/>
      <right/>
      <top/>
      <bottom/>
      <diagonal/>
    </border>
    <border>
      <left/>
      <right/>
      <top/>
      <bottom style="thin">
        <color theme="0" tint="-0.34998626667073579"/>
      </bottom>
      <diagonal/>
    </border>
    <border>
      <left/>
      <right/>
      <top style="thin">
        <color theme="0" tint="-0.34998626667073579"/>
      </top>
      <bottom/>
      <diagonal/>
    </border>
    <border>
      <left style="medium">
        <color theme="1" tint="0.14999847407452621"/>
      </left>
      <right style="thin">
        <color theme="1" tint="0.14999847407452621"/>
      </right>
      <top/>
      <bottom style="thin">
        <color theme="1" tint="0.14999847407452621"/>
      </bottom>
      <diagonal/>
    </border>
    <border>
      <left style="thin">
        <color theme="1" tint="0.14999847407452621"/>
      </left>
      <right style="thin">
        <color theme="1" tint="0.14999847407452621"/>
      </right>
      <top/>
      <bottom style="thin">
        <color theme="1" tint="0.14999847407452621"/>
      </bottom>
      <diagonal/>
    </border>
    <border>
      <left style="thin">
        <color theme="1" tint="0.14999847407452621"/>
      </left>
      <right/>
      <top/>
      <bottom style="thin">
        <color theme="1" tint="0.14999847407452621"/>
      </bottom>
      <diagonal/>
    </border>
    <border>
      <left style="medium">
        <color theme="1" tint="0.14999847407452621"/>
      </left>
      <right style="thin">
        <color theme="1" tint="0.14999847407452621"/>
      </right>
      <top style="thin">
        <color theme="1" tint="0.149998474074526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thin">
        <color theme="0" tint="-0.249977111117893"/>
      </right>
      <top style="medium">
        <color theme="1"/>
      </top>
      <bottom style="thin">
        <color theme="0" tint="-0.249977111117893"/>
      </bottom>
      <diagonal/>
    </border>
    <border>
      <left style="thin">
        <color theme="0" tint="-0.249977111117893"/>
      </left>
      <right style="medium">
        <color theme="1"/>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medium">
        <color theme="1"/>
      </right>
      <top style="thin">
        <color theme="0" tint="-0.249977111117893"/>
      </top>
      <bottom style="thin">
        <color theme="0" tint="-0.249977111117893"/>
      </bottom>
      <diagonal/>
    </border>
    <border>
      <left style="medium">
        <color theme="1"/>
      </left>
      <right style="thin">
        <color theme="0" tint="-0.249977111117893"/>
      </right>
      <top style="thin">
        <color theme="0" tint="-0.249977111117893"/>
      </top>
      <bottom style="medium">
        <color theme="1"/>
      </bottom>
      <diagonal/>
    </border>
    <border>
      <left style="thin">
        <color theme="0" tint="-0.249977111117893"/>
      </left>
      <right style="thin">
        <color theme="0" tint="-0.249977111117893"/>
      </right>
      <top style="thin">
        <color theme="0" tint="-0.249977111117893"/>
      </top>
      <bottom style="medium">
        <color theme="1"/>
      </bottom>
      <diagonal/>
    </border>
    <border>
      <left style="thin">
        <color theme="0" tint="-0.249977111117893"/>
      </left>
      <right style="medium">
        <color theme="1"/>
      </right>
      <top style="thin">
        <color theme="0" tint="-0.249977111117893"/>
      </top>
      <bottom style="medium">
        <color theme="1"/>
      </bottom>
      <diagonal/>
    </border>
  </borders>
  <cellStyleXfs count="22">
    <xf numFmtId="0" fontId="0" fillId="0" borderId="0"/>
    <xf numFmtId="49" fontId="23" fillId="0" borderId="0" applyProtection="0">
      <alignment horizontal="left"/>
    </xf>
    <xf numFmtId="181" fontId="23" fillId="0" borderId="0" applyFill="0" applyBorder="0" applyProtection="0">
      <alignment horizontal="right"/>
    </xf>
    <xf numFmtId="182" fontId="23" fillId="0" borderId="0" applyFill="0" applyBorder="0" applyProtection="0">
      <alignment horizontal="right"/>
    </xf>
    <xf numFmtId="183" fontId="24" fillId="0" borderId="0" applyFill="0" applyBorder="0" applyProtection="0">
      <alignment horizontal="center"/>
    </xf>
    <xf numFmtId="184" fontId="24" fillId="0" borderId="0" applyFill="0" applyBorder="0" applyProtection="0">
      <alignment horizontal="center"/>
    </xf>
    <xf numFmtId="185" fontId="25" fillId="0" borderId="0" applyFill="0" applyBorder="0" applyProtection="0">
      <alignment horizontal="right"/>
    </xf>
    <xf numFmtId="186" fontId="23" fillId="0" borderId="0" applyFill="0" applyBorder="0" applyProtection="0">
      <alignment horizontal="right"/>
    </xf>
    <xf numFmtId="187" fontId="23" fillId="0" borderId="0" applyFill="0" applyBorder="0" applyProtection="0">
      <alignment horizontal="right"/>
    </xf>
    <xf numFmtId="188" fontId="23" fillId="0" borderId="0" applyFill="0" applyBorder="0" applyProtection="0">
      <alignment horizontal="right"/>
    </xf>
    <xf numFmtId="189" fontId="23" fillId="0" borderId="0" applyFill="0" applyBorder="0" applyProtection="0">
      <alignment horizontal="right"/>
    </xf>
    <xf numFmtId="190" fontId="23" fillId="0" borderId="0" applyFont="0" applyFill="0" applyBorder="0" applyAlignment="0" applyProtection="0"/>
    <xf numFmtId="0" fontId="26" fillId="0" borderId="0"/>
    <xf numFmtId="0" fontId="27" fillId="0" borderId="0">
      <alignment vertical="center"/>
    </xf>
    <xf numFmtId="0" fontId="26" fillId="0" borderId="0"/>
    <xf numFmtId="0" fontId="26" fillId="0" borderId="0">
      <protection locked="0"/>
    </xf>
    <xf numFmtId="0" fontId="28" fillId="0" borderId="0"/>
    <xf numFmtId="191" fontId="29" fillId="0" borderId="0" applyFont="0" applyFill="0" applyBorder="0" applyAlignment="0" applyProtection="0">
      <alignment vertical="center"/>
    </xf>
    <xf numFmtId="192" fontId="26" fillId="0" borderId="0" applyFont="0" applyFill="0" applyBorder="0" applyAlignment="0" applyProtection="0">
      <alignment vertical="center"/>
    </xf>
    <xf numFmtId="191" fontId="26" fillId="0" borderId="0" applyFont="0" applyFill="0" applyBorder="0" applyAlignment="0" applyProtection="0">
      <alignment vertical="center"/>
    </xf>
    <xf numFmtId="193" fontId="26" fillId="0" borderId="0" applyFont="0" applyFill="0" applyBorder="0" applyAlignment="0" applyProtection="0">
      <alignment vertical="center"/>
    </xf>
    <xf numFmtId="0" fontId="23" fillId="0" borderId="0"/>
  </cellStyleXfs>
  <cellXfs count="62">
    <xf numFmtId="0" fontId="0" fillId="0" borderId="0" xfId="0"/>
    <xf numFmtId="0" fontId="1" fillId="0" borderId="0" xfId="0" applyFont="1"/>
    <xf numFmtId="0" fontId="6" fillId="0" borderId="0" xfId="0" applyFont="1" applyAlignment="1">
      <alignment horizontal="center" vertical="center" wrapText="1"/>
    </xf>
    <xf numFmtId="0" fontId="7" fillId="0" borderId="0" xfId="0" applyFont="1"/>
    <xf numFmtId="0" fontId="9" fillId="0" borderId="0" xfId="0" applyFont="1"/>
    <xf numFmtId="0" fontId="10" fillId="0" borderId="0" xfId="0" applyFont="1"/>
    <xf numFmtId="0" fontId="11" fillId="2" borderId="0" xfId="0" applyFont="1" applyFill="1" applyBorder="1" applyAlignment="1">
      <alignment vertical="center"/>
    </xf>
    <xf numFmtId="0" fontId="12" fillId="2" borderId="0" xfId="0" applyFont="1" applyFill="1" applyBorder="1" applyAlignment="1">
      <alignment vertical="center"/>
    </xf>
    <xf numFmtId="180" fontId="13" fillId="2" borderId="0" xfId="0" applyNumberFormat="1" applyFont="1" applyFill="1" applyBorder="1" applyAlignment="1">
      <alignment horizontal="center" vertical="center"/>
    </xf>
    <xf numFmtId="0" fontId="13" fillId="2" borderId="0" xfId="0" applyFont="1" applyFill="1" applyBorder="1" applyAlignment="1">
      <alignment horizontal="center" vertical="center"/>
    </xf>
    <xf numFmtId="0" fontId="1" fillId="0" borderId="0" xfId="0" applyFont="1" applyAlignment="1">
      <alignment horizontal="center" vertical="center"/>
    </xf>
    <xf numFmtId="0" fontId="13" fillId="2" borderId="1" xfId="0" applyFont="1" applyFill="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1" fillId="0" borderId="0" xfId="0" applyFont="1"/>
    <xf numFmtId="0" fontId="16" fillId="0" borderId="0" xfId="0" applyFont="1" applyAlignment="1">
      <alignment horizontal="center" vertical="center"/>
    </xf>
    <xf numFmtId="0" fontId="0" fillId="5" borderId="0" xfId="0" applyFill="1"/>
    <xf numFmtId="0" fontId="0" fillId="6" borderId="0" xfId="0" applyFill="1"/>
    <xf numFmtId="3" fontId="16" fillId="0" borderId="0" xfId="0" applyNumberFormat="1" applyFont="1" applyAlignment="1">
      <alignment horizontal="center" vertical="center"/>
    </xf>
    <xf numFmtId="0" fontId="0" fillId="7" borderId="0" xfId="0" applyFill="1"/>
    <xf numFmtId="0" fontId="0" fillId="8" borderId="0" xfId="0" applyFill="1"/>
    <xf numFmtId="0" fontId="0" fillId="10" borderId="0" xfId="0" applyFill="1"/>
    <xf numFmtId="0" fontId="7" fillId="3" borderId="13" xfId="0" applyFont="1" applyFill="1" applyBorder="1" applyAlignment="1">
      <alignment horizontal="center" vertical="center"/>
    </xf>
    <xf numFmtId="14" fontId="7" fillId="0" borderId="13" xfId="0" applyNumberFormat="1" applyFont="1" applyBorder="1" applyAlignment="1">
      <alignment horizontal="center" vertical="center"/>
    </xf>
    <xf numFmtId="0" fontId="7" fillId="8" borderId="13" xfId="0" applyFont="1" applyFill="1" applyBorder="1" applyAlignment="1">
      <alignment horizontal="center" vertical="center"/>
    </xf>
    <xf numFmtId="0" fontId="9" fillId="8" borderId="14" xfId="0" applyFont="1" applyFill="1" applyBorder="1" applyAlignment="1">
      <alignment horizontal="center" vertical="center"/>
    </xf>
    <xf numFmtId="14" fontId="9" fillId="8" borderId="14" xfId="0" applyNumberFormat="1" applyFont="1" applyFill="1" applyBorder="1" applyAlignment="1">
      <alignment horizontal="center" vertical="center"/>
    </xf>
    <xf numFmtId="0" fontId="9" fillId="0" borderId="14" xfId="0" applyFont="1" applyBorder="1" applyAlignment="1">
      <alignment horizontal="center" vertical="center"/>
    </xf>
    <xf numFmtId="14" fontId="9" fillId="3" borderId="14" xfId="0" applyNumberFormat="1" applyFont="1" applyFill="1" applyBorder="1" applyAlignment="1">
      <alignment horizontal="center" vertical="center"/>
    </xf>
    <xf numFmtId="0" fontId="9" fillId="3" borderId="14" xfId="0" applyFont="1" applyFill="1" applyBorder="1" applyAlignment="1">
      <alignment horizontal="center" vertical="center"/>
    </xf>
    <xf numFmtId="0" fontId="9" fillId="4" borderId="14" xfId="0" applyFont="1" applyFill="1" applyBorder="1" applyAlignment="1">
      <alignment horizontal="center" vertical="center"/>
    </xf>
    <xf numFmtId="0" fontId="13" fillId="6" borderId="15" xfId="0" applyFont="1" applyFill="1" applyBorder="1" applyAlignment="1">
      <alignment horizontal="center" vertical="center"/>
    </xf>
    <xf numFmtId="0" fontId="13" fillId="6" borderId="16" xfId="0" applyFont="1" applyFill="1" applyBorder="1" applyAlignment="1">
      <alignment horizontal="center" vertical="center"/>
    </xf>
    <xf numFmtId="0" fontId="13" fillId="6" borderId="17" xfId="0" applyFont="1" applyFill="1" applyBorder="1" applyAlignment="1">
      <alignment horizontal="center" vertical="center"/>
    </xf>
    <xf numFmtId="0" fontId="9" fillId="8" borderId="18" xfId="0" applyFont="1" applyFill="1" applyBorder="1" applyAlignment="1">
      <alignment horizontal="center" vertical="center"/>
    </xf>
    <xf numFmtId="9" fontId="9" fillId="8" borderId="19" xfId="0" applyNumberFormat="1" applyFont="1" applyFill="1" applyBorder="1" applyAlignment="1">
      <alignment horizontal="center" vertical="center"/>
    </xf>
    <xf numFmtId="0" fontId="9" fillId="0" borderId="18" xfId="0" applyFont="1" applyBorder="1" applyAlignment="1">
      <alignment horizontal="center" vertical="center"/>
    </xf>
    <xf numFmtId="9" fontId="9" fillId="0" borderId="19" xfId="0" applyNumberFormat="1" applyFont="1" applyBorder="1" applyAlignment="1">
      <alignment horizontal="center" vertical="center"/>
    </xf>
    <xf numFmtId="0" fontId="9" fillId="0" borderId="19" xfId="0" applyFont="1" applyBorder="1" applyAlignment="1">
      <alignment horizontal="center" vertical="center"/>
    </xf>
    <xf numFmtId="0" fontId="9" fillId="8" borderId="19" xfId="0" applyFont="1" applyFill="1" applyBorder="1" applyAlignment="1">
      <alignment horizontal="center" vertical="center"/>
    </xf>
    <xf numFmtId="0" fontId="9" fillId="4" borderId="18" xfId="0" applyFont="1" applyFill="1" applyBorder="1" applyAlignment="1">
      <alignment horizontal="center" vertical="center"/>
    </xf>
    <xf numFmtId="0" fontId="9" fillId="4" borderId="19" xfId="0" applyFont="1" applyFill="1" applyBorder="1" applyAlignment="1">
      <alignment horizontal="center"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0" borderId="22" xfId="0" applyFont="1" applyBorder="1" applyAlignment="1">
      <alignment horizontal="center" vertical="center"/>
    </xf>
    <xf numFmtId="0" fontId="7" fillId="0" borderId="0" xfId="0" applyFont="1" applyBorder="1" applyAlignment="1">
      <alignment horizontal="left" vertical="center"/>
    </xf>
    <xf numFmtId="0" fontId="1" fillId="0" borderId="0" xfId="0" applyFont="1" applyBorder="1" applyAlignment="1">
      <alignment horizontal="center" vertical="center" wrapText="1"/>
    </xf>
    <xf numFmtId="176" fontId="5" fillId="2" borderId="0" xfId="0" applyNumberFormat="1" applyFont="1" applyFill="1" applyBorder="1" applyAlignment="1">
      <alignment horizontal="left" vertical="center" wrapText="1"/>
    </xf>
    <xf numFmtId="177" fontId="8" fillId="2" borderId="1" xfId="0" applyNumberFormat="1" applyFont="1" applyFill="1" applyBorder="1" applyAlignment="1">
      <alignment horizontal="left" vertical="top" wrapText="1"/>
    </xf>
    <xf numFmtId="178" fontId="11" fillId="2" borderId="2" xfId="0" applyNumberFormat="1" applyFont="1" applyFill="1" applyBorder="1" applyAlignment="1">
      <alignment horizontal="left" vertical="center"/>
    </xf>
    <xf numFmtId="179" fontId="11" fillId="2" borderId="0" xfId="0" applyNumberFormat="1" applyFont="1" applyFill="1" applyBorder="1" applyAlignment="1">
      <alignment horizontal="center" vertical="center"/>
    </xf>
    <xf numFmtId="0" fontId="14" fillId="2" borderId="2" xfId="0" applyFont="1" applyFill="1" applyBorder="1" applyAlignment="1">
      <alignment horizontal="center" vertical="top"/>
    </xf>
    <xf numFmtId="0" fontId="14" fillId="2" borderId="0" xfId="0" applyFont="1" applyFill="1" applyBorder="1" applyAlignment="1">
      <alignment horizontal="center" vertical="top"/>
    </xf>
    <xf numFmtId="0" fontId="11" fillId="9" borderId="7" xfId="0" applyFont="1" applyFill="1" applyBorder="1" applyAlignment="1">
      <alignment horizontal="left" vertical="center" wrapText="1"/>
    </xf>
    <xf numFmtId="0" fontId="11" fillId="9" borderId="8" xfId="0" applyFont="1" applyFill="1" applyBorder="1" applyAlignment="1">
      <alignment horizontal="left" vertical="center"/>
    </xf>
    <xf numFmtId="0" fontId="11" fillId="9" borderId="9" xfId="0" applyFont="1" applyFill="1" applyBorder="1" applyAlignment="1">
      <alignment horizontal="left" vertical="center"/>
    </xf>
    <xf numFmtId="0" fontId="1" fillId="3" borderId="10" xfId="0" applyFont="1" applyFill="1" applyBorder="1" applyAlignment="1">
      <alignment horizontal="left" vertical="center" wrapText="1"/>
    </xf>
    <xf numFmtId="0" fontId="1" fillId="3" borderId="11" xfId="0" applyFont="1" applyFill="1" applyBorder="1" applyAlignment="1">
      <alignment horizontal="left" vertical="center" wrapText="1"/>
    </xf>
    <xf numFmtId="0" fontId="1" fillId="3" borderId="12" xfId="0" applyFont="1" applyFill="1" applyBorder="1" applyAlignment="1">
      <alignment horizontal="left" vertical="center" wrapText="1"/>
    </xf>
    <xf numFmtId="0" fontId="15" fillId="0" borderId="0" xfId="0" applyFont="1" applyAlignment="1">
      <alignment horizontal="center" vertical="center"/>
    </xf>
  </cellXfs>
  <cellStyles count="22">
    <cellStyle name="@_text" xfId="1"/>
    <cellStyle name="{Comma [0]}" xfId="2"/>
    <cellStyle name="{Comma}" xfId="3"/>
    <cellStyle name="{Date}" xfId="4"/>
    <cellStyle name="{Month}" xfId="5"/>
    <cellStyle name="{Percent}" xfId="6"/>
    <cellStyle name="{Thousand [0]}" xfId="7"/>
    <cellStyle name="{Thousand}" xfId="8"/>
    <cellStyle name="{Z'0000(1 dec)}" xfId="9"/>
    <cellStyle name="{Z'0000(4 dec)}" xfId="10"/>
    <cellStyle name="Euro" xfId="11"/>
    <cellStyle name="Normal_App 16.A02.reconciliation_TS(CZ).300910.101110.final" xfId="12"/>
    <cellStyle name="常规" xfId="0" builtinId="0"/>
    <cellStyle name="常规 2" xfId="13"/>
    <cellStyle name="常规 3" xfId="14"/>
    <cellStyle name="常规 4" xfId="15"/>
    <cellStyle name="常规 5" xfId="16"/>
    <cellStyle name="千位分隔 2" xfId="17"/>
    <cellStyle name="千位分隔 3" xfId="18"/>
    <cellStyle name="千位分隔 4" xfId="19"/>
    <cellStyle name="千位分隔[0] 2" xfId="20"/>
    <cellStyle name="样式 1" xfId="2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2" defaultPivotStyle="PivotStyleLight16"/>
  <colors>
    <mruColors>
      <color rgb="FFBBE1FA"/>
      <color rgb="FF0F4C75"/>
      <color rgb="FF1B262C"/>
      <color rgb="FF3282B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639711844405952E-2"/>
          <c:y val="9.1863392075990508E-2"/>
          <c:w val="0.89975939924337478"/>
          <c:h val="0.90813660792400952"/>
        </c:manualLayout>
      </c:layout>
      <c:barChart>
        <c:barDir val="bar"/>
        <c:grouping val="stacked"/>
        <c:varyColors val="0"/>
        <c:ser>
          <c:idx val="1"/>
          <c:order val="0"/>
          <c:tx>
            <c:strRef>
              <c:f>Sheet1!$K$3</c:f>
              <c:strCache>
                <c:ptCount val="1"/>
                <c:pt idx="0">
                  <c:v>开始时间</c:v>
                </c:pt>
              </c:strCache>
            </c:strRef>
          </c:tx>
          <c:spPr>
            <a:noFill/>
          </c:spPr>
          <c:invertIfNegative val="0"/>
          <c:val>
            <c:numRef>
              <c:f>Sheet1!$K$4:$K$28</c:f>
              <c:numCache>
                <c:formatCode>m/d/yyyy</c:formatCode>
                <c:ptCount val="25"/>
                <c:pt idx="0">
                  <c:v>43891</c:v>
                </c:pt>
                <c:pt idx="1">
                  <c:v>43893</c:v>
                </c:pt>
                <c:pt idx="2">
                  <c:v>43895</c:v>
                </c:pt>
                <c:pt idx="3">
                  <c:v>43892</c:v>
                </c:pt>
                <c:pt idx="4">
                  <c:v>43896</c:v>
                </c:pt>
                <c:pt idx="5">
                  <c:v>43898</c:v>
                </c:pt>
                <c:pt idx="9">
                  <c:v>43894</c:v>
                </c:pt>
              </c:numCache>
            </c:numRef>
          </c:val>
        </c:ser>
        <c:ser>
          <c:idx val="0"/>
          <c:order val="1"/>
          <c:tx>
            <c:strRef>
              <c:f>Sheet1!$M$3</c:f>
              <c:strCache>
                <c:ptCount val="1"/>
                <c:pt idx="0">
                  <c:v>工期</c:v>
                </c:pt>
              </c:strCache>
            </c:strRef>
          </c:tx>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invertIfNegative val="0"/>
          <c:cat>
            <c:strRef>
              <c:f>Sheet1!$J$4:$J$28</c:f>
              <c:strCache>
                <c:ptCount val="10"/>
                <c:pt idx="0">
                  <c:v>项目筹备</c:v>
                </c:pt>
                <c:pt idx="1">
                  <c:v>物料配备</c:v>
                </c:pt>
                <c:pt idx="2">
                  <c:v>队伍筹建</c:v>
                </c:pt>
                <c:pt idx="3">
                  <c:v>项目定位</c:v>
                </c:pt>
                <c:pt idx="4">
                  <c:v>背景调查</c:v>
                </c:pt>
                <c:pt idx="5">
                  <c:v>可行性分析</c:v>
                </c:pt>
                <c:pt idx="9">
                  <c:v>项目实施</c:v>
                </c:pt>
              </c:strCache>
            </c:strRef>
          </c:cat>
          <c:val>
            <c:numRef>
              <c:f>Sheet1!$M$4:$M$28</c:f>
              <c:numCache>
                <c:formatCode>General</c:formatCode>
                <c:ptCount val="25"/>
                <c:pt idx="0">
                  <c:v>4</c:v>
                </c:pt>
                <c:pt idx="1">
                  <c:v>8</c:v>
                </c:pt>
                <c:pt idx="2">
                  <c:v>9</c:v>
                </c:pt>
                <c:pt idx="3">
                  <c:v>15</c:v>
                </c:pt>
                <c:pt idx="4">
                  <c:v>-199</c:v>
                </c:pt>
                <c:pt idx="5">
                  <c:v>5</c:v>
                </c:pt>
                <c:pt idx="6">
                  <c:v>0</c:v>
                </c:pt>
                <c:pt idx="7">
                  <c:v>0</c:v>
                </c:pt>
                <c:pt idx="8">
                  <c:v>0</c:v>
                </c:pt>
                <c:pt idx="9">
                  <c:v>23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er>
        <c:dLbls>
          <c:showLegendKey val="0"/>
          <c:showVal val="0"/>
          <c:showCatName val="0"/>
          <c:showSerName val="0"/>
          <c:showPercent val="0"/>
          <c:showBubbleSize val="0"/>
        </c:dLbls>
        <c:gapWidth val="32"/>
        <c:overlap val="100"/>
        <c:axId val="639562880"/>
        <c:axId val="639564416"/>
      </c:barChart>
      <c:catAx>
        <c:axId val="639562880"/>
        <c:scaling>
          <c:orientation val="maxMin"/>
        </c:scaling>
        <c:delete val="0"/>
        <c:axPos val="l"/>
        <c:majorTickMark val="out"/>
        <c:minorTickMark val="none"/>
        <c:tickLblPos val="nextTo"/>
        <c:spPr>
          <a:ln>
            <a:noFill/>
          </a:ln>
        </c:spPr>
        <c:txPr>
          <a:bodyPr/>
          <a:lstStyle/>
          <a:p>
            <a:pPr>
              <a:defRPr sz="900">
                <a:latin typeface="微软雅黑" pitchFamily="34" charset="-122"/>
                <a:ea typeface="微软雅黑" pitchFamily="34" charset="-122"/>
              </a:defRPr>
            </a:pPr>
            <a:endParaRPr lang="zh-CN"/>
          </a:p>
        </c:txPr>
        <c:crossAx val="639564416"/>
        <c:crosses val="autoZero"/>
        <c:auto val="1"/>
        <c:lblAlgn val="ctr"/>
        <c:lblOffset val="100"/>
        <c:noMultiLvlLbl val="0"/>
      </c:catAx>
      <c:valAx>
        <c:axId val="639564416"/>
        <c:scaling>
          <c:orientation val="minMax"/>
          <c:max val="43943"/>
          <c:min val="43891"/>
        </c:scaling>
        <c:delete val="0"/>
        <c:axPos val="t"/>
        <c:majorGridlines>
          <c:spPr>
            <a:ln>
              <a:solidFill>
                <a:schemeClr val="tx2">
                  <a:lumMod val="40000"/>
                  <a:lumOff val="60000"/>
                  <a:alpha val="25000"/>
                </a:schemeClr>
              </a:solidFill>
            </a:ln>
            <a:effectLst/>
          </c:spPr>
        </c:majorGridlines>
        <c:numFmt formatCode="m/d;@" sourceLinked="0"/>
        <c:majorTickMark val="out"/>
        <c:minorTickMark val="none"/>
        <c:tickLblPos val="nextTo"/>
        <c:spPr>
          <a:ln>
            <a:noFill/>
          </a:ln>
        </c:spPr>
        <c:txPr>
          <a:bodyPr/>
          <a:lstStyle/>
          <a:p>
            <a:pPr>
              <a:defRPr sz="900">
                <a:latin typeface="微软雅黑" pitchFamily="34" charset="-122"/>
                <a:ea typeface="微软雅黑" pitchFamily="34" charset="-122"/>
              </a:defRPr>
            </a:pPr>
            <a:endParaRPr lang="zh-CN"/>
          </a:p>
        </c:txPr>
        <c:crossAx val="639562880"/>
        <c:crosses val="autoZero"/>
        <c:crossBetween val="between"/>
        <c:majorUnit val="4"/>
      </c:valAx>
    </c:plotArea>
    <c:plotVisOnly val="1"/>
    <c:dispBlanksAs val="gap"/>
    <c:showDLblsOverMax val="0"/>
  </c:chart>
  <c:spPr>
    <a:ln>
      <a:solidFill>
        <a:schemeClr val="tx1">
          <a:lumMod val="95000"/>
          <a:lumOff val="5000"/>
        </a:schemeClr>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Spin" dx="16" fmlaLink="$A$5" max="2050" min="1900" page="10" val="2020"/>
</file>

<file path=xl/ctrlProps/ctrlProp2.xml><?xml version="1.0" encoding="utf-8"?>
<formControlPr xmlns="http://schemas.microsoft.com/office/spreadsheetml/2009/9/main" objectType="Spin" dx="16" fmlaLink="$C$5" max="12" min="1" page="10" val="2"/>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1343024</xdr:colOff>
      <xdr:row>1</xdr:row>
      <xdr:rowOff>0</xdr:rowOff>
    </xdr:from>
    <xdr:to>
      <xdr:col>30</xdr:col>
      <xdr:colOff>419100</xdr:colOff>
      <xdr:row>28</xdr:row>
      <xdr:rowOff>0</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295275</xdr:colOff>
          <xdr:row>4</xdr:row>
          <xdr:rowOff>9525</xdr:rowOff>
        </xdr:from>
        <xdr:to>
          <xdr:col>1</xdr:col>
          <xdr:colOff>476250</xdr:colOff>
          <xdr:row>4</xdr:row>
          <xdr:rowOff>304800</xdr:rowOff>
        </xdr:to>
        <xdr:sp macro="" textlink="">
          <xdr:nvSpPr>
            <xdr:cNvPr id="1025" name="Spinner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4</xdr:row>
          <xdr:rowOff>9525</xdr:rowOff>
        </xdr:from>
        <xdr:to>
          <xdr:col>3</xdr:col>
          <xdr:colOff>476250</xdr:colOff>
          <xdr:row>5</xdr:row>
          <xdr:rowOff>0</xdr:rowOff>
        </xdr:to>
        <xdr:sp macro="" textlink="">
          <xdr:nvSpPr>
            <xdr:cNvPr id="1026" name="Spinner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0</xdr:row>
      <xdr:rowOff>57150</xdr:rowOff>
    </xdr:from>
    <xdr:to>
      <xdr:col>3</xdr:col>
      <xdr:colOff>20638</xdr:colOff>
      <xdr:row>0</xdr:row>
      <xdr:rowOff>723900</xdr:rowOff>
    </xdr:to>
    <xdr:pic>
      <xdr:nvPicPr>
        <xdr:cNvPr id="5" name="图片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57150"/>
          <a:ext cx="1477963" cy="666750"/>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EO69"/>
  <sheetViews>
    <sheetView showGridLines="0" showZeros="0" tabSelected="1" zoomScaleNormal="100" workbookViewId="0">
      <selection activeCell="H3" sqref="H3"/>
    </sheetView>
  </sheetViews>
  <sheetFormatPr defaultRowHeight="16.5" x14ac:dyDescent="0.3"/>
  <cols>
    <col min="1" max="7" width="6.375" style="1" customWidth="1"/>
    <col min="8" max="8" width="1" style="1" customWidth="1"/>
    <col min="9" max="9" width="8.125" style="1" customWidth="1"/>
    <col min="10" max="10" width="17.375" style="10" customWidth="1"/>
    <col min="11" max="11" width="9.75" style="10" customWidth="1"/>
    <col min="12" max="12" width="10.75" style="10" customWidth="1"/>
    <col min="13" max="13" width="8.375" style="10" customWidth="1"/>
    <col min="14" max="14" width="17.625" style="10" customWidth="1"/>
    <col min="15" max="16384" width="9" style="1"/>
  </cols>
  <sheetData>
    <row r="1" spans="1:25 16369:16369" ht="63" customHeight="1" x14ac:dyDescent="0.3">
      <c r="A1" s="48" t="s">
        <v>35</v>
      </c>
      <c r="B1" s="48"/>
      <c r="C1" s="48"/>
      <c r="D1" s="48"/>
      <c r="E1" s="48"/>
      <c r="F1" s="48"/>
      <c r="G1" s="48"/>
      <c r="H1" s="48"/>
      <c r="I1" s="48"/>
      <c r="J1" s="48"/>
      <c r="K1" s="48"/>
      <c r="L1" s="48"/>
      <c r="M1" s="48"/>
      <c r="N1" s="48"/>
      <c r="O1" s="48"/>
      <c r="P1" s="48"/>
      <c r="Q1" s="48"/>
      <c r="R1" s="48"/>
      <c r="S1" s="48"/>
      <c r="T1" s="48"/>
      <c r="U1" s="48"/>
      <c r="V1" s="48"/>
      <c r="W1" s="48"/>
      <c r="X1" s="48"/>
      <c r="Y1" s="48"/>
    </row>
    <row r="2" spans="1:25 16369:16369" s="3" customFormat="1" ht="27" customHeight="1" thickBot="1" x14ac:dyDescent="0.4">
      <c r="A2" s="49">
        <f ca="1">NOW()</f>
        <v>43894.534052662035</v>
      </c>
      <c r="B2" s="49"/>
      <c r="C2" s="49"/>
      <c r="D2" s="49"/>
      <c r="E2" s="49"/>
      <c r="F2" s="49"/>
      <c r="G2" s="49"/>
      <c r="H2" s="2">
        <v>1020</v>
      </c>
      <c r="I2" s="26" t="s">
        <v>0</v>
      </c>
      <c r="J2" s="24" t="s">
        <v>1</v>
      </c>
      <c r="K2" s="26" t="s">
        <v>2</v>
      </c>
      <c r="L2" s="25">
        <v>43891</v>
      </c>
      <c r="M2" s="26" t="s">
        <v>3</v>
      </c>
      <c r="N2" s="25">
        <v>43943</v>
      </c>
    </row>
    <row r="3" spans="1:25 16369:16369" ht="24" customHeight="1" x14ac:dyDescent="0.3">
      <c r="A3" s="49"/>
      <c r="B3" s="49"/>
      <c r="C3" s="49"/>
      <c r="D3" s="49"/>
      <c r="E3" s="49"/>
      <c r="F3" s="49"/>
      <c r="G3" s="49"/>
      <c r="I3" s="33" t="s">
        <v>4</v>
      </c>
      <c r="J3" s="34" t="s">
        <v>5</v>
      </c>
      <c r="K3" s="34" t="s">
        <v>2</v>
      </c>
      <c r="L3" s="34" t="s">
        <v>3</v>
      </c>
      <c r="M3" s="34" t="s">
        <v>6</v>
      </c>
      <c r="N3" s="35" t="s">
        <v>7</v>
      </c>
    </row>
    <row r="4" spans="1:25 16369:16369" s="4" customFormat="1" ht="19.5" customHeight="1" x14ac:dyDescent="0.3">
      <c r="A4" s="50">
        <f ca="1">TODAY()</f>
        <v>43894</v>
      </c>
      <c r="B4" s="50"/>
      <c r="C4" s="50"/>
      <c r="D4" s="50"/>
      <c r="E4" s="50"/>
      <c r="F4" s="50"/>
      <c r="G4" s="50"/>
      <c r="H4" s="1"/>
      <c r="I4" s="36" t="s">
        <v>8</v>
      </c>
      <c r="J4" s="27" t="s">
        <v>9</v>
      </c>
      <c r="K4" s="28">
        <v>43891</v>
      </c>
      <c r="L4" s="28">
        <v>43895</v>
      </c>
      <c r="M4" s="27">
        <f>L4-K4</f>
        <v>4</v>
      </c>
      <c r="N4" s="37">
        <v>0.5</v>
      </c>
      <c r="XEO4" s="5" t="s">
        <v>10</v>
      </c>
    </row>
    <row r="5" spans="1:25 16369:16369" s="4" customFormat="1" ht="30" customHeight="1" x14ac:dyDescent="0.3">
      <c r="A5" s="51">
        <v>2020</v>
      </c>
      <c r="B5" s="51">
        <v>1901</v>
      </c>
      <c r="C5" s="52">
        <v>2</v>
      </c>
      <c r="D5" s="52">
        <v>1</v>
      </c>
      <c r="E5" s="6"/>
      <c r="F5" s="7">
        <f>IF(C5=2,IF(OR(A5/400=INT(A5/400),AND(A5/4=INT(A5/4),A5/100&lt;&gt;INT(A5/100))),29,28),IF(OR(C5=4,C5=6,C5=9,C5=11),30,31))</f>
        <v>29</v>
      </c>
      <c r="G5" s="6"/>
      <c r="H5" s="1"/>
      <c r="I5" s="38">
        <v>1.1000000000000001</v>
      </c>
      <c r="J5" s="29" t="s">
        <v>11</v>
      </c>
      <c r="K5" s="30">
        <v>43893</v>
      </c>
      <c r="L5" s="30">
        <v>43901</v>
      </c>
      <c r="M5" s="29">
        <f t="shared" ref="M5:M28" si="0">L5-K5</f>
        <v>8</v>
      </c>
      <c r="N5" s="39">
        <v>0.2</v>
      </c>
    </row>
    <row r="6" spans="1:25 16369:16369" s="4" customFormat="1" ht="30" customHeight="1" x14ac:dyDescent="0.3">
      <c r="A6" s="8" t="s">
        <v>12</v>
      </c>
      <c r="B6" s="8" t="s">
        <v>13</v>
      </c>
      <c r="C6" s="8" t="s">
        <v>14</v>
      </c>
      <c r="D6" s="8" t="s">
        <v>15</v>
      </c>
      <c r="E6" s="8" t="s">
        <v>16</v>
      </c>
      <c r="F6" s="8" t="s">
        <v>17</v>
      </c>
      <c r="G6" s="8" t="s">
        <v>18</v>
      </c>
      <c r="H6" s="1"/>
      <c r="I6" s="38" t="s">
        <v>19</v>
      </c>
      <c r="J6" s="29" t="s">
        <v>20</v>
      </c>
      <c r="K6" s="30">
        <v>43895</v>
      </c>
      <c r="L6" s="30">
        <v>43904</v>
      </c>
      <c r="M6" s="29">
        <f t="shared" si="0"/>
        <v>9</v>
      </c>
      <c r="N6" s="39">
        <v>0.15</v>
      </c>
    </row>
    <row r="7" spans="1:25 16369:16369" s="4" customFormat="1" ht="30" customHeight="1" x14ac:dyDescent="0.3">
      <c r="A7" s="9">
        <f>IF(A63=1,1,0)</f>
        <v>0</v>
      </c>
      <c r="B7" s="9">
        <f t="shared" ref="B7:G7" si="1">IF(A7&gt;0,A7+1,IF(B63=1,1,0))</f>
        <v>0</v>
      </c>
      <c r="C7" s="9">
        <f t="shared" si="1"/>
        <v>0</v>
      </c>
      <c r="D7" s="9">
        <f t="shared" si="1"/>
        <v>0</v>
      </c>
      <c r="E7" s="9">
        <f t="shared" si="1"/>
        <v>0</v>
      </c>
      <c r="F7" s="9">
        <f t="shared" si="1"/>
        <v>0</v>
      </c>
      <c r="G7" s="9">
        <f t="shared" si="1"/>
        <v>1</v>
      </c>
      <c r="H7" s="10"/>
      <c r="I7" s="38" t="s">
        <v>21</v>
      </c>
      <c r="J7" s="29" t="s">
        <v>22</v>
      </c>
      <c r="K7" s="30">
        <v>43892</v>
      </c>
      <c r="L7" s="30">
        <v>43907</v>
      </c>
      <c r="M7" s="29">
        <f t="shared" si="0"/>
        <v>15</v>
      </c>
      <c r="N7" s="39">
        <v>0.2</v>
      </c>
    </row>
    <row r="8" spans="1:25 16369:16369" s="4" customFormat="1" ht="30" customHeight="1" x14ac:dyDescent="0.3">
      <c r="A8" s="9">
        <f>G7+1</f>
        <v>2</v>
      </c>
      <c r="B8" s="9">
        <f t="shared" ref="B8:G10" si="2">A8+1</f>
        <v>3</v>
      </c>
      <c r="C8" s="9">
        <f t="shared" si="2"/>
        <v>4</v>
      </c>
      <c r="D8" s="9">
        <f t="shared" si="2"/>
        <v>5</v>
      </c>
      <c r="E8" s="9">
        <f t="shared" si="2"/>
        <v>6</v>
      </c>
      <c r="F8" s="9">
        <f t="shared" si="2"/>
        <v>7</v>
      </c>
      <c r="G8" s="9">
        <f t="shared" si="2"/>
        <v>8</v>
      </c>
      <c r="H8" s="10"/>
      <c r="I8" s="38">
        <v>1.2</v>
      </c>
      <c r="J8" s="29" t="s">
        <v>23</v>
      </c>
      <c r="K8" s="30">
        <v>43896</v>
      </c>
      <c r="L8" s="30">
        <v>43697</v>
      </c>
      <c r="M8" s="29">
        <f t="shared" si="0"/>
        <v>-199</v>
      </c>
      <c r="N8" s="39">
        <v>0.6</v>
      </c>
    </row>
    <row r="9" spans="1:25 16369:16369" s="4" customFormat="1" ht="30" customHeight="1" x14ac:dyDescent="0.3">
      <c r="A9" s="9">
        <f>G8+1</f>
        <v>9</v>
      </c>
      <c r="B9" s="9">
        <f t="shared" si="2"/>
        <v>10</v>
      </c>
      <c r="C9" s="9">
        <f t="shared" si="2"/>
        <v>11</v>
      </c>
      <c r="D9" s="9">
        <f t="shared" si="2"/>
        <v>12</v>
      </c>
      <c r="E9" s="9">
        <f t="shared" si="2"/>
        <v>13</v>
      </c>
      <c r="F9" s="9">
        <f t="shared" si="2"/>
        <v>14</v>
      </c>
      <c r="G9" s="9">
        <f t="shared" si="2"/>
        <v>15</v>
      </c>
      <c r="H9" s="10"/>
      <c r="I9" s="38">
        <v>1.3</v>
      </c>
      <c r="J9" s="29" t="s">
        <v>24</v>
      </c>
      <c r="K9" s="30">
        <v>43898</v>
      </c>
      <c r="L9" s="30">
        <v>43903</v>
      </c>
      <c r="M9" s="29">
        <f t="shared" si="0"/>
        <v>5</v>
      </c>
      <c r="N9" s="40"/>
    </row>
    <row r="10" spans="1:25 16369:16369" s="4" customFormat="1" ht="30" customHeight="1" x14ac:dyDescent="0.3">
      <c r="A10" s="9">
        <f>G9+1</f>
        <v>16</v>
      </c>
      <c r="B10" s="9">
        <f t="shared" si="2"/>
        <v>17</v>
      </c>
      <c r="C10" s="9">
        <f t="shared" si="2"/>
        <v>18</v>
      </c>
      <c r="D10" s="9">
        <f t="shared" si="2"/>
        <v>19</v>
      </c>
      <c r="E10" s="9">
        <f t="shared" si="2"/>
        <v>20</v>
      </c>
      <c r="F10" s="9">
        <f t="shared" si="2"/>
        <v>21</v>
      </c>
      <c r="G10" s="9">
        <f t="shared" si="2"/>
        <v>22</v>
      </c>
      <c r="H10" s="10"/>
      <c r="I10" s="38">
        <v>1.4</v>
      </c>
      <c r="J10" s="29"/>
      <c r="K10" s="31"/>
      <c r="L10" s="31"/>
      <c r="M10" s="29">
        <f t="shared" si="0"/>
        <v>0</v>
      </c>
      <c r="N10" s="40" t="s">
        <v>29</v>
      </c>
    </row>
    <row r="11" spans="1:25 16369:16369" s="4" customFormat="1" ht="30" customHeight="1" x14ac:dyDescent="0.3">
      <c r="A11" s="9">
        <f>IF(G10+1&gt;$F$5,0,G10+1)</f>
        <v>23</v>
      </c>
      <c r="B11" s="9">
        <f t="shared" ref="B11:G12" si="3">IF(A11=0,0,IF(A11+1&gt;$F$5,0,A11+1))</f>
        <v>24</v>
      </c>
      <c r="C11" s="9">
        <f t="shared" si="3"/>
        <v>25</v>
      </c>
      <c r="D11" s="9">
        <f t="shared" si="3"/>
        <v>26</v>
      </c>
      <c r="E11" s="9">
        <f t="shared" si="3"/>
        <v>27</v>
      </c>
      <c r="F11" s="9">
        <f t="shared" si="3"/>
        <v>28</v>
      </c>
      <c r="G11" s="9">
        <f t="shared" si="3"/>
        <v>29</v>
      </c>
      <c r="H11" s="10"/>
      <c r="I11" s="38">
        <v>1.5</v>
      </c>
      <c r="J11" s="29"/>
      <c r="K11" s="31"/>
      <c r="L11" s="31"/>
      <c r="M11" s="29">
        <f t="shared" si="0"/>
        <v>0</v>
      </c>
      <c r="N11" s="40"/>
    </row>
    <row r="12" spans="1:25 16369:16369" s="4" customFormat="1" ht="30" customHeight="1" x14ac:dyDescent="0.3">
      <c r="A12" s="11">
        <f>IF(G11=0,0,IF(G11+1&gt;$F$5,0,G11+1))</f>
        <v>0</v>
      </c>
      <c r="B12" s="11">
        <f t="shared" si="3"/>
        <v>0</v>
      </c>
      <c r="C12" s="11">
        <f t="shared" si="3"/>
        <v>0</v>
      </c>
      <c r="D12" s="11">
        <f t="shared" si="3"/>
        <v>0</v>
      </c>
      <c r="E12" s="11">
        <f t="shared" si="3"/>
        <v>0</v>
      </c>
      <c r="F12" s="11">
        <f t="shared" si="3"/>
        <v>0</v>
      </c>
      <c r="G12" s="11">
        <f t="shared" si="3"/>
        <v>0</v>
      </c>
      <c r="H12" s="10"/>
      <c r="I12" s="38">
        <v>1.6</v>
      </c>
      <c r="J12" s="29"/>
      <c r="K12" s="31"/>
      <c r="L12" s="31"/>
      <c r="M12" s="29">
        <f t="shared" si="0"/>
        <v>0</v>
      </c>
      <c r="N12" s="40"/>
    </row>
    <row r="13" spans="1:25 16369:16369" s="4" customFormat="1" ht="19.5" customHeight="1" x14ac:dyDescent="0.3">
      <c r="A13" s="53"/>
      <c r="B13" s="53"/>
      <c r="C13" s="53"/>
      <c r="D13" s="53"/>
      <c r="E13" s="53"/>
      <c r="F13" s="53"/>
      <c r="G13" s="53"/>
      <c r="H13" s="1"/>
      <c r="I13" s="36" t="s">
        <v>25</v>
      </c>
      <c r="J13" s="27" t="s">
        <v>26</v>
      </c>
      <c r="K13" s="28">
        <v>43894</v>
      </c>
      <c r="L13" s="28">
        <v>43917</v>
      </c>
      <c r="M13" s="27">
        <f t="shared" si="0"/>
        <v>23</v>
      </c>
      <c r="N13" s="41"/>
    </row>
    <row r="14" spans="1:25 16369:16369" s="4" customFormat="1" ht="18.75" customHeight="1" x14ac:dyDescent="0.3">
      <c r="A14" s="54"/>
      <c r="B14" s="54"/>
      <c r="C14" s="54"/>
      <c r="D14" s="54"/>
      <c r="E14" s="54"/>
      <c r="F14" s="54"/>
      <c r="G14" s="54"/>
      <c r="H14" s="1"/>
      <c r="I14" s="38">
        <v>2.1</v>
      </c>
      <c r="J14" s="29"/>
      <c r="K14" s="31"/>
      <c r="L14" s="31"/>
      <c r="M14" s="29">
        <f t="shared" si="0"/>
        <v>0</v>
      </c>
      <c r="N14" s="40"/>
    </row>
    <row r="15" spans="1:25 16369:16369" s="4" customFormat="1" ht="18.75" customHeight="1" x14ac:dyDescent="0.3">
      <c r="A15" s="54"/>
      <c r="B15" s="54"/>
      <c r="C15" s="54"/>
      <c r="D15" s="54"/>
      <c r="E15" s="54"/>
      <c r="F15" s="54"/>
      <c r="G15" s="54"/>
      <c r="H15" s="1"/>
      <c r="I15" s="38">
        <v>2.2000000000000002</v>
      </c>
      <c r="J15" s="29"/>
      <c r="K15" s="31"/>
      <c r="L15" s="31"/>
      <c r="M15" s="29">
        <f t="shared" si="0"/>
        <v>0</v>
      </c>
      <c r="N15" s="40"/>
    </row>
    <row r="16" spans="1:25 16369:16369" s="4" customFormat="1" ht="18.75" customHeight="1" x14ac:dyDescent="0.3">
      <c r="A16" s="54"/>
      <c r="B16" s="54"/>
      <c r="C16" s="54"/>
      <c r="D16" s="54"/>
      <c r="E16" s="54"/>
      <c r="F16" s="54"/>
      <c r="G16" s="54"/>
      <c r="H16" s="1"/>
      <c r="I16" s="38">
        <v>2.2999999999999998</v>
      </c>
      <c r="J16" s="29"/>
      <c r="K16" s="31"/>
      <c r="L16" s="31"/>
      <c r="M16" s="29">
        <f t="shared" si="0"/>
        <v>0</v>
      </c>
      <c r="N16" s="40"/>
    </row>
    <row r="17" spans="1:14" s="4" customFormat="1" ht="18.75" customHeight="1" x14ac:dyDescent="0.3">
      <c r="A17" s="54"/>
      <c r="B17" s="54"/>
      <c r="C17" s="54"/>
      <c r="D17" s="54"/>
      <c r="E17" s="54"/>
      <c r="F17" s="54"/>
      <c r="G17" s="54"/>
      <c r="H17" s="1"/>
      <c r="I17" s="38">
        <v>2.4</v>
      </c>
      <c r="J17" s="29"/>
      <c r="K17" s="31"/>
      <c r="L17" s="31"/>
      <c r="M17" s="29">
        <f t="shared" si="0"/>
        <v>0</v>
      </c>
      <c r="N17" s="40"/>
    </row>
    <row r="18" spans="1:14" s="4" customFormat="1" ht="18.75" customHeight="1" x14ac:dyDescent="0.3">
      <c r="A18" s="54"/>
      <c r="B18" s="54"/>
      <c r="C18" s="54"/>
      <c r="D18" s="54"/>
      <c r="E18" s="54"/>
      <c r="F18" s="54"/>
      <c r="G18" s="54"/>
      <c r="H18" s="1"/>
      <c r="I18" s="38">
        <v>2.5</v>
      </c>
      <c r="J18" s="29"/>
      <c r="K18" s="31"/>
      <c r="L18" s="31"/>
      <c r="M18" s="29">
        <f t="shared" si="0"/>
        <v>0</v>
      </c>
      <c r="N18" s="40"/>
    </row>
    <row r="19" spans="1:14" s="4" customFormat="1" ht="18.75" customHeight="1" x14ac:dyDescent="0.3">
      <c r="A19" s="54"/>
      <c r="B19" s="54"/>
      <c r="C19" s="54"/>
      <c r="D19" s="54"/>
      <c r="E19" s="54"/>
      <c r="F19" s="54"/>
      <c r="G19" s="54"/>
      <c r="H19" s="1"/>
      <c r="I19" s="36" t="s">
        <v>15</v>
      </c>
      <c r="J19" s="27"/>
      <c r="K19" s="27"/>
      <c r="L19" s="27"/>
      <c r="M19" s="27">
        <f t="shared" si="0"/>
        <v>0</v>
      </c>
      <c r="N19" s="41"/>
    </row>
    <row r="20" spans="1:14" s="4" customFormat="1" ht="18.75" customHeight="1" x14ac:dyDescent="0.3">
      <c r="A20" s="54"/>
      <c r="B20" s="54"/>
      <c r="C20" s="54"/>
      <c r="D20" s="54"/>
      <c r="E20" s="54"/>
      <c r="F20" s="54"/>
      <c r="G20" s="54"/>
      <c r="H20" s="1"/>
      <c r="I20" s="38">
        <v>3.1</v>
      </c>
      <c r="J20" s="29"/>
      <c r="K20" s="29"/>
      <c r="L20" s="29"/>
      <c r="M20" s="29">
        <f t="shared" si="0"/>
        <v>0</v>
      </c>
      <c r="N20" s="40"/>
    </row>
    <row r="21" spans="1:14" s="4" customFormat="1" ht="18.75" customHeight="1" x14ac:dyDescent="0.3">
      <c r="A21" s="54"/>
      <c r="B21" s="54"/>
      <c r="C21" s="54"/>
      <c r="D21" s="54"/>
      <c r="E21" s="54"/>
      <c r="F21" s="54"/>
      <c r="G21" s="54"/>
      <c r="H21" s="1"/>
      <c r="I21" s="38">
        <v>3.2</v>
      </c>
      <c r="J21" s="29"/>
      <c r="K21" s="29"/>
      <c r="L21" s="29"/>
      <c r="M21" s="29">
        <f t="shared" si="0"/>
        <v>0</v>
      </c>
      <c r="N21" s="40"/>
    </row>
    <row r="22" spans="1:14" s="4" customFormat="1" ht="18.75" customHeight="1" x14ac:dyDescent="0.3">
      <c r="A22" s="54"/>
      <c r="B22" s="54"/>
      <c r="C22" s="54"/>
      <c r="D22" s="54"/>
      <c r="E22" s="54"/>
      <c r="F22" s="54"/>
      <c r="G22" s="54"/>
      <c r="H22" s="1"/>
      <c r="I22" s="38">
        <v>3.3</v>
      </c>
      <c r="J22" s="29"/>
      <c r="K22" s="29"/>
      <c r="L22" s="29"/>
      <c r="M22" s="29">
        <f t="shared" si="0"/>
        <v>0</v>
      </c>
      <c r="N22" s="40"/>
    </row>
    <row r="23" spans="1:14" s="4" customFormat="1" ht="18.75" customHeight="1" x14ac:dyDescent="0.3">
      <c r="A23" s="54"/>
      <c r="B23" s="54"/>
      <c r="C23" s="54"/>
      <c r="D23" s="54"/>
      <c r="E23" s="54"/>
      <c r="F23" s="54"/>
      <c r="G23" s="54"/>
      <c r="H23" s="1"/>
      <c r="I23" s="38">
        <v>3.4</v>
      </c>
      <c r="J23" s="29"/>
      <c r="K23" s="29"/>
      <c r="L23" s="29"/>
      <c r="M23" s="29">
        <f t="shared" si="0"/>
        <v>0</v>
      </c>
      <c r="N23" s="40"/>
    </row>
    <row r="24" spans="1:14" s="4" customFormat="1" ht="18.75" customHeight="1" x14ac:dyDescent="0.3">
      <c r="A24" s="54"/>
      <c r="B24" s="54"/>
      <c r="C24" s="54"/>
      <c r="D24" s="54"/>
      <c r="E24" s="54"/>
      <c r="F24" s="54"/>
      <c r="G24" s="54"/>
      <c r="H24" s="1"/>
      <c r="I24" s="38">
        <v>3.5</v>
      </c>
      <c r="J24" s="29"/>
      <c r="K24" s="29"/>
      <c r="L24" s="29"/>
      <c r="M24" s="29">
        <f t="shared" si="0"/>
        <v>0</v>
      </c>
      <c r="N24" s="40"/>
    </row>
    <row r="25" spans="1:14" s="4" customFormat="1" ht="18.75" customHeight="1" x14ac:dyDescent="0.3">
      <c r="A25" s="54"/>
      <c r="B25" s="54"/>
      <c r="C25" s="54"/>
      <c r="D25" s="54"/>
      <c r="E25" s="54"/>
      <c r="F25" s="54"/>
      <c r="G25" s="54"/>
      <c r="H25" s="1"/>
      <c r="I25" s="42" t="s">
        <v>27</v>
      </c>
      <c r="J25" s="32"/>
      <c r="K25" s="32"/>
      <c r="L25" s="32"/>
      <c r="M25" s="32">
        <f t="shared" si="0"/>
        <v>0</v>
      </c>
      <c r="N25" s="43"/>
    </row>
    <row r="26" spans="1:14" s="4" customFormat="1" ht="18.75" customHeight="1" x14ac:dyDescent="0.3">
      <c r="A26" s="54"/>
      <c r="B26" s="54"/>
      <c r="C26" s="54"/>
      <c r="D26" s="54"/>
      <c r="E26" s="54"/>
      <c r="F26" s="54"/>
      <c r="G26" s="54"/>
      <c r="H26" s="1"/>
      <c r="I26" s="38">
        <v>4.0999999999999996</v>
      </c>
      <c r="J26" s="29"/>
      <c r="K26" s="29"/>
      <c r="L26" s="29"/>
      <c r="M26" s="29">
        <f t="shared" si="0"/>
        <v>0</v>
      </c>
      <c r="N26" s="40"/>
    </row>
    <row r="27" spans="1:14" s="4" customFormat="1" ht="18.75" customHeight="1" x14ac:dyDescent="0.3">
      <c r="A27" s="54"/>
      <c r="B27" s="54"/>
      <c r="C27" s="54"/>
      <c r="D27" s="54"/>
      <c r="E27" s="54"/>
      <c r="F27" s="54"/>
      <c r="G27" s="54"/>
      <c r="H27" s="1"/>
      <c r="I27" s="38">
        <v>4.2</v>
      </c>
      <c r="J27" s="29"/>
      <c r="K27" s="29"/>
      <c r="L27" s="29"/>
      <c r="M27" s="29">
        <f t="shared" si="0"/>
        <v>0</v>
      </c>
      <c r="N27" s="40"/>
    </row>
    <row r="28" spans="1:14" s="4" customFormat="1" ht="18.75" customHeight="1" thickBot="1" x14ac:dyDescent="0.35">
      <c r="A28" s="54"/>
      <c r="B28" s="54"/>
      <c r="C28" s="54"/>
      <c r="D28" s="54"/>
      <c r="E28" s="54"/>
      <c r="F28" s="54"/>
      <c r="G28" s="54"/>
      <c r="H28" s="1"/>
      <c r="I28" s="44">
        <v>4.3</v>
      </c>
      <c r="J28" s="45"/>
      <c r="K28" s="45"/>
      <c r="L28" s="45"/>
      <c r="M28" s="45">
        <f t="shared" si="0"/>
        <v>0</v>
      </c>
      <c r="N28" s="46"/>
    </row>
    <row r="29" spans="1:14" ht="33.75" customHeight="1" x14ac:dyDescent="0.3">
      <c r="A29" s="47" t="s">
        <v>28</v>
      </c>
      <c r="B29" s="47"/>
      <c r="C29" s="47"/>
      <c r="D29" s="47"/>
      <c r="E29" s="47"/>
      <c r="F29" s="47"/>
      <c r="G29" s="47"/>
      <c r="H29" s="47"/>
      <c r="I29" s="47"/>
      <c r="J29" s="47"/>
      <c r="K29" s="47"/>
      <c r="L29" s="47"/>
      <c r="M29" s="47"/>
      <c r="N29" s="47"/>
    </row>
    <row r="62" spans="1:7" x14ac:dyDescent="0.3">
      <c r="A62" s="12">
        <v>7</v>
      </c>
      <c r="B62" s="13">
        <v>1</v>
      </c>
      <c r="C62" s="13">
        <v>2</v>
      </c>
      <c r="D62" s="13">
        <v>3</v>
      </c>
      <c r="E62" s="13">
        <v>4</v>
      </c>
      <c r="F62" s="13">
        <v>5</v>
      </c>
      <c r="G62" s="14">
        <v>6</v>
      </c>
    </row>
    <row r="63" spans="1:7" x14ac:dyDescent="0.3">
      <c r="A63" s="15">
        <f t="shared" ref="A63:G63" si="4">IF(WEEKDAY(DATE($A$5,$C$5,1),2)=A62,1,0)</f>
        <v>0</v>
      </c>
      <c r="B63" s="15">
        <f t="shared" si="4"/>
        <v>0</v>
      </c>
      <c r="C63" s="15">
        <f t="shared" si="4"/>
        <v>0</v>
      </c>
      <c r="D63" s="15">
        <f t="shared" si="4"/>
        <v>0</v>
      </c>
      <c r="E63" s="15">
        <f t="shared" si="4"/>
        <v>0</v>
      </c>
      <c r="F63" s="15">
        <f t="shared" si="4"/>
        <v>0</v>
      </c>
      <c r="G63" s="15">
        <f t="shared" si="4"/>
        <v>1</v>
      </c>
    </row>
    <row r="64" spans="1:7" x14ac:dyDescent="0.3">
      <c r="A64" s="16"/>
    </row>
    <row r="69" spans="4:4" x14ac:dyDescent="0.3">
      <c r="D69"/>
    </row>
  </sheetData>
  <mergeCells count="7">
    <mergeCell ref="A29:N29"/>
    <mergeCell ref="A1:Y1"/>
    <mergeCell ref="A2:G3"/>
    <mergeCell ref="A4:G4"/>
    <mergeCell ref="A5:B5"/>
    <mergeCell ref="C5:D5"/>
    <mergeCell ref="A13:G28"/>
  </mergeCells>
  <phoneticPr fontId="4" type="noConversion"/>
  <conditionalFormatting sqref="M2">
    <cfRule type="cellIs" dxfId="4" priority="4" operator="equal">
      <formula>"差"</formula>
    </cfRule>
    <cfRule type="cellIs" dxfId="3" priority="5" operator="equal">
      <formula>"中"</formula>
    </cfRule>
    <cfRule type="cellIs" dxfId="2" priority="6" operator="equal">
      <formula>"高"</formula>
    </cfRule>
  </conditionalFormatting>
  <conditionalFormatting sqref="N2">
    <cfRule type="cellIs" dxfId="1" priority="3" operator="equal">
      <formula>"是"</formula>
    </cfRule>
  </conditionalFormatting>
  <conditionalFormatting sqref="N3:N28">
    <cfRule type="dataBar" priority="2">
      <dataBar>
        <cfvo type="min"/>
        <cfvo type="max"/>
        <color rgb="FFFF555A"/>
      </dataBar>
      <extLst>
        <ext xmlns:x14="http://schemas.microsoft.com/office/spreadsheetml/2009/9/main" uri="{B025F937-C7B1-47D3-B67F-A62EFF666E3E}">
          <x14:id>{B1B60EFF-C059-465B-BF8D-FD19463B0403}</x14:id>
        </ext>
      </extLst>
    </cfRule>
  </conditionalFormatting>
  <conditionalFormatting sqref="A7:G12 A13">
    <cfRule type="cellIs" dxfId="0" priority="1" operator="equal">
      <formula>DAY(TODAY())</formula>
    </cfRule>
  </conditionalFormatting>
  <pageMargins left="0.7" right="0.7" top="0.75" bottom="0.75" header="0.3" footer="0.3"/>
  <pageSetup paperSize="9"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Spinner 1">
              <controlPr defaultSize="0" autoPict="0" altText="年">
                <anchor moveWithCells="1" sizeWithCells="1">
                  <from>
                    <xdr:col>1</xdr:col>
                    <xdr:colOff>295275</xdr:colOff>
                    <xdr:row>4</xdr:row>
                    <xdr:rowOff>9525</xdr:rowOff>
                  </from>
                  <to>
                    <xdr:col>1</xdr:col>
                    <xdr:colOff>476250</xdr:colOff>
                    <xdr:row>4</xdr:row>
                    <xdr:rowOff>304800</xdr:rowOff>
                  </to>
                </anchor>
              </controlPr>
            </control>
          </mc:Choice>
        </mc:AlternateContent>
        <mc:AlternateContent xmlns:mc="http://schemas.openxmlformats.org/markup-compatibility/2006">
          <mc:Choice Requires="x14">
            <control shapeId="1026" r:id="rId6" name="Spinner 2">
              <controlPr defaultSize="0" autoPict="0" altText="年">
                <anchor moveWithCells="1" sizeWithCells="1">
                  <from>
                    <xdr:col>3</xdr:col>
                    <xdr:colOff>295275</xdr:colOff>
                    <xdr:row>4</xdr:row>
                    <xdr:rowOff>9525</xdr:rowOff>
                  </from>
                  <to>
                    <xdr:col>3</xdr:col>
                    <xdr:colOff>476250</xdr:colOff>
                    <xdr:row>5</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1B60EFF-C059-465B-BF8D-FD19463B0403}">
            <x14:dataBar minLength="0" maxLength="100" gradient="0">
              <x14:cfvo type="autoMin"/>
              <x14:cfvo type="autoMax"/>
              <x14:negativeFillColor rgb="FFFF0000"/>
              <x14:axisColor rgb="FF000000"/>
            </x14:dataBar>
          </x14:cfRule>
          <xm:sqref>N3:N28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M2"/>
  <sheetViews>
    <sheetView workbookViewId="0">
      <selection activeCell="E14" sqref="E14"/>
    </sheetView>
  </sheetViews>
  <sheetFormatPr defaultRowHeight="13.5" x14ac:dyDescent="0.15"/>
  <cols>
    <col min="1" max="16384" width="9" style="23"/>
  </cols>
  <sheetData>
    <row r="1" spans="1:13" ht="59.25" customHeight="1" x14ac:dyDescent="0.15">
      <c r="A1" s="55" t="s">
        <v>33</v>
      </c>
      <c r="B1" s="56"/>
      <c r="C1" s="56"/>
      <c r="D1" s="56"/>
      <c r="E1" s="56"/>
      <c r="F1" s="56"/>
      <c r="G1" s="56"/>
      <c r="H1" s="56"/>
      <c r="I1" s="56"/>
      <c r="J1" s="56"/>
      <c r="K1" s="56"/>
      <c r="L1" s="56"/>
      <c r="M1" s="57"/>
    </row>
    <row r="2" spans="1:13" ht="239.25" customHeight="1" thickBot="1" x14ac:dyDescent="0.2">
      <c r="A2" s="58" t="s">
        <v>34</v>
      </c>
      <c r="B2" s="59"/>
      <c r="C2" s="59"/>
      <c r="D2" s="59"/>
      <c r="E2" s="59"/>
      <c r="F2" s="59"/>
      <c r="G2" s="59"/>
      <c r="H2" s="59"/>
      <c r="I2" s="59"/>
      <c r="J2" s="59"/>
      <c r="K2" s="59"/>
      <c r="L2" s="59"/>
      <c r="M2" s="60"/>
    </row>
  </sheetData>
  <sheetProtection autoFilter="0"/>
  <mergeCells count="2">
    <mergeCell ref="A1:M1"/>
    <mergeCell ref="A2:M2"/>
  </mergeCells>
  <phoneticPr fontId="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5"/>
  <sheetViews>
    <sheetView workbookViewId="0">
      <selection activeCell="I13" sqref="I13"/>
    </sheetView>
  </sheetViews>
  <sheetFormatPr defaultRowHeight="13.5" x14ac:dyDescent="0.15"/>
  <cols>
    <col min="1" max="1" width="12.5" customWidth="1"/>
  </cols>
  <sheetData>
    <row r="1" spans="1:2" ht="14.25" x14ac:dyDescent="0.15">
      <c r="A1" s="61" t="s">
        <v>30</v>
      </c>
      <c r="B1" s="61"/>
    </row>
    <row r="2" spans="1:2" ht="17.25" x14ac:dyDescent="0.15">
      <c r="A2" s="17" t="s">
        <v>31</v>
      </c>
      <c r="B2" s="18"/>
    </row>
    <row r="3" spans="1:2" ht="17.25" x14ac:dyDescent="0.15">
      <c r="A3" s="17" t="s">
        <v>32</v>
      </c>
      <c r="B3" s="19"/>
    </row>
    <row r="4" spans="1:2" ht="17.25" x14ac:dyDescent="0.15">
      <c r="A4" s="20">
        <v>50130184</v>
      </c>
      <c r="B4" s="21"/>
    </row>
    <row r="5" spans="1:2" ht="17.25" x14ac:dyDescent="0.15">
      <c r="A5" s="20">
        <v>187225250</v>
      </c>
      <c r="B5" s="22"/>
    </row>
  </sheetData>
  <mergeCells count="1">
    <mergeCell ref="A1:B1"/>
  </mergeCells>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工作表</vt:lpstr>
      </vt:variant>
      <vt:variant>
        <vt:i4>3</vt:i4>
      </vt:variant>
    </vt:vector>
  </HeadingPairs>
  <TitlesOfParts>
    <vt:vector size="3" baseType="lpstr">
      <vt:lpstr>Sheet1</vt:lpstr>
      <vt:lpstr>版权说明</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2020-03-03T23:33:59Z</dcterms:created>
  <dcterms:modified xsi:type="dcterms:W3CDTF">2020-03-04T04:50:07Z</dcterms:modified>
</cp:coreProperties>
</file>